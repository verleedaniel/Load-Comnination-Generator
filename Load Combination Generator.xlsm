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IIITH\"/>
    </mc:Choice>
  </mc:AlternateContent>
  <xr:revisionPtr revIDLastSave="0" documentId="13_ncr:1_{010FF090-F944-48A0-A667-B0B95F9D7C92}" xr6:coauthVersionLast="47" xr6:coauthVersionMax="47" xr10:uidLastSave="{00000000-0000-0000-0000-000000000000}"/>
  <bookViews>
    <workbookView xWindow="-120" yWindow="-120" windowWidth="29040" windowHeight="16440" xr2:uid="{169D4348-DE95-472E-81FB-5579CC2AB339}"/>
  </bookViews>
  <sheets>
    <sheet name="Sheet1" sheetId="1" r:id="rId1"/>
    <sheet name="RS_Function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2" l="1" a="1"/>
  <c r="B31" i="2" a="1"/>
  <c r="C31" i="2" s="1"/>
  <c r="B30" i="2" a="1"/>
  <c r="C30" i="2" s="1"/>
  <c r="B29" i="2" a="1"/>
  <c r="C29" i="2" s="1"/>
  <c r="B28" i="2" a="1"/>
  <c r="C28" i="2" s="1"/>
  <c r="B27" i="2" a="1"/>
  <c r="C27" i="2" s="1"/>
  <c r="B26" i="2" a="1"/>
  <c r="C26" i="2" s="1"/>
  <c r="B25" i="2" a="1"/>
  <c r="C25" i="2" s="1"/>
  <c r="B24" i="2" a="1"/>
  <c r="C24" i="2" s="1"/>
  <c r="B23" i="2" a="1"/>
  <c r="C23" i="2" s="1"/>
  <c r="B22" i="2" a="1"/>
  <c r="C22" i="2" s="1"/>
  <c r="B21" i="2" a="1"/>
  <c r="C21" i="2" s="1"/>
  <c r="B20" i="2" a="1"/>
  <c r="C20" i="2" s="1"/>
  <c r="B19" i="2" a="1"/>
  <c r="C19" i="2" s="1"/>
  <c r="B18" i="2" a="1"/>
  <c r="C18" i="2" s="1"/>
  <c r="B17" i="2" a="1"/>
  <c r="C17" i="2" s="1"/>
  <c r="B16" i="2" a="1"/>
  <c r="C16" i="2" s="1"/>
  <c r="B15" i="2" a="1"/>
  <c r="C15" i="2" s="1"/>
  <c r="B14" i="2" a="1"/>
  <c r="C14" i="2" s="1"/>
  <c r="B13" i="2" a="1"/>
  <c r="C13" i="2" s="1"/>
  <c r="B12" i="2" a="1"/>
  <c r="C12" i="2" s="1"/>
  <c r="B11" i="2" a="1"/>
  <c r="C11" i="2" s="1"/>
  <c r="B10" i="2" a="1"/>
  <c r="C10" i="2" s="1"/>
  <c r="B9" i="2" a="1"/>
  <c r="C9" i="2" s="1"/>
  <c r="B8" i="2" a="1"/>
  <c r="C8" i="2" s="1"/>
  <c r="B7" i="2" a="1"/>
  <c r="C7" i="2" s="1"/>
  <c r="B6" i="2" a="1"/>
  <c r="C6" i="2" s="1"/>
  <c r="B5" i="2" a="1"/>
  <c r="C5" i="2" s="1"/>
  <c r="B3" i="2" a="1"/>
  <c r="C3" i="2" s="1"/>
  <c r="B2" i="2" a="1"/>
  <c r="D2" i="2" s="1"/>
  <c r="D4" i="2" l="1"/>
  <c r="C4" i="2"/>
  <c r="D8" i="2"/>
  <c r="D16" i="2"/>
  <c r="D24" i="2"/>
  <c r="D9" i="2"/>
  <c r="D17" i="2"/>
  <c r="D25" i="2"/>
  <c r="D10" i="2"/>
  <c r="D18" i="2"/>
  <c r="D26" i="2"/>
  <c r="D11" i="2"/>
  <c r="D19" i="2"/>
  <c r="D27" i="2"/>
  <c r="D3" i="2"/>
  <c r="D12" i="2"/>
  <c r="D20" i="2"/>
  <c r="D28" i="2"/>
  <c r="D5" i="2"/>
  <c r="D13" i="2"/>
  <c r="D21" i="2"/>
  <c r="D29" i="2"/>
  <c r="D6" i="2"/>
  <c r="D14" i="2"/>
  <c r="D22" i="2"/>
  <c r="D30" i="2"/>
  <c r="D7" i="2"/>
  <c r="D15" i="2"/>
  <c r="D23" i="2"/>
  <c r="D31" i="2"/>
  <c r="C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<sst xmlns="http://schemas.openxmlformats.org/spreadsheetml/2006/main" count="12" uniqueCount="12">
  <si>
    <t>Eqx</t>
  </si>
  <si>
    <t>Eqy</t>
  </si>
  <si>
    <t>Eqz</t>
  </si>
  <si>
    <t>IL</t>
  </si>
  <si>
    <t>Th</t>
  </si>
  <si>
    <t>Anh</t>
  </si>
  <si>
    <t>Sa</t>
  </si>
  <si>
    <t>Ahd</t>
  </si>
  <si>
    <t>Z</t>
  </si>
  <si>
    <t>I</t>
  </si>
  <si>
    <t>R</t>
  </si>
  <si>
    <t>DL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</si>
</sst>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11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2" fillId="2" borderId="5" xfId="1" applyBorder="1" applyAlignment="1">
      <alignment horizontal="center"/>
    </xf>
    <xf numFmtId="0" fontId="2" fillId="2" borderId="6" xfId="1" applyBorder="1" applyAlignment="1">
      <alignment horizontal="center"/>
    </xf>
    <xf numFmtId="0" fontId="0" fillId="2" borderId="4" xfId="1" applyFont="1" applyBorder="1" applyAlignment="1">
      <alignment horizontal="center"/>
    </xf>
  </cellXfs>
  <cellStyles count="2">
    <cellStyle name="20% - Accent1" xfId="1" builtinId="3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57151</xdr:colOff>
      <xdr:row>6</xdr:row>
      <xdr:rowOff>104775</xdr:rowOff>
    </xdr:from>
    <xdr:to>
      <xdr:col>12</xdr:col>
      <xdr:colOff>114301</xdr:colOff>
      <xdr:row>11</xdr:row>
      <xdr:rowOff>9525</xdr:rowOff>
    </xdr:to>
    <xdr:sp macro="[0]!Create_All_SAP_LoadCombinations_final" textlink="">
      <xdr:nvSpPr>
        <xdr:cNvPr id="2" name="Rectangle 1">
          <a:extLst>
            <a:ext uri="{FF2B5EF4-FFF2-40B4-BE49-F238E27FC236}">
              <a16:creationId xmlns:a16="http://schemas.microsoft.com/office/drawing/2014/main" id="{BA7C0E28-9F62-6CFB-0A3F-C13107F40294}"/>
            </a:ext>
          </a:extLst>
        </xdr:cNvPr>
        <xdr:cNvSpPr/>
      </xdr:nvSpPr>
      <xdr:spPr>
        <a:xfrm>
          <a:off x="5543551" y="1257300"/>
          <a:ext cx="1885950" cy="86677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Create Load Combinations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FDCB28-2AA5-4477-AF94-6E9916FC3421}">
  <sheetPr codeName="Sheet1"/>
  <dimension ref="A1:E125"/>
  <sheetViews>
    <sheetView tabSelected="1" workbookViewId="0">
      <selection activeCell="N7" sqref="N7:R12"/>
    </sheetView>
  </sheetViews>
  <sheetFormatPr defaultRowHeight="15" x14ac:dyDescent="0.25"/>
  <cols>
    <col min="1" max="16384" width="9.140625" style="1"/>
  </cols>
  <sheetData>
    <row r="1" spans="1:5" ht="15.75" thickBot="1" x14ac:dyDescent="0.3">
      <c r="A1" s="10" t="s">
        <v>11</v>
      </c>
      <c r="B1" s="8" t="s">
        <v>3</v>
      </c>
      <c r="C1" s="8" t="s">
        <v>0</v>
      </c>
      <c r="D1" s="8" t="s">
        <v>1</v>
      </c>
      <c r="E1" s="9" t="s">
        <v>2</v>
      </c>
    </row>
    <row r="2" spans="1:5" x14ac:dyDescent="0.25">
      <c r="A2" s="3">
        <v>1.2</v>
      </c>
      <c r="B2" s="3">
        <v>1.2</v>
      </c>
      <c r="C2" s="3">
        <v>1</v>
      </c>
      <c r="D2" s="3">
        <v>0.3</v>
      </c>
      <c r="E2" s="3">
        <v>0.3</v>
      </c>
    </row>
    <row r="3" spans="1:5" x14ac:dyDescent="0.25">
      <c r="A3" s="3">
        <v>1.2</v>
      </c>
      <c r="B3" s="3">
        <v>1.2</v>
      </c>
      <c r="C3" s="3">
        <v>1</v>
      </c>
      <c r="D3" s="3">
        <v>0.3</v>
      </c>
      <c r="E3" s="3">
        <v>-0.3</v>
      </c>
    </row>
    <row r="4" spans="1:5" x14ac:dyDescent="0.25">
      <c r="A4" s="3">
        <v>1.2</v>
      </c>
      <c r="B4" s="3">
        <v>1.2</v>
      </c>
      <c r="C4" s="3">
        <v>1</v>
      </c>
      <c r="D4" s="3">
        <v>-0.3</v>
      </c>
      <c r="E4" s="3">
        <v>0.3</v>
      </c>
    </row>
    <row r="5" spans="1:5" x14ac:dyDescent="0.25">
      <c r="A5" s="4">
        <v>1.2</v>
      </c>
      <c r="B5" s="4">
        <v>1.2</v>
      </c>
      <c r="C5" s="4">
        <v>1</v>
      </c>
      <c r="D5" s="4">
        <v>-0.3</v>
      </c>
      <c r="E5" s="4">
        <v>-0.3</v>
      </c>
    </row>
    <row r="6" spans="1:5" x14ac:dyDescent="0.25">
      <c r="A6" s="3">
        <v>1.2</v>
      </c>
      <c r="B6" s="3">
        <v>1.2</v>
      </c>
      <c r="C6" s="3">
        <v>-1</v>
      </c>
      <c r="D6" s="3">
        <v>0.3</v>
      </c>
      <c r="E6" s="3">
        <v>0.3</v>
      </c>
    </row>
    <row r="7" spans="1:5" x14ac:dyDescent="0.25">
      <c r="A7" s="3">
        <v>1.2</v>
      </c>
      <c r="B7" s="3">
        <v>1.2</v>
      </c>
      <c r="C7" s="3">
        <v>-1</v>
      </c>
      <c r="D7" s="3">
        <v>0.3</v>
      </c>
      <c r="E7" s="3">
        <v>-0.3</v>
      </c>
    </row>
    <row r="8" spans="1:5" x14ac:dyDescent="0.25">
      <c r="A8" s="3">
        <v>1.2</v>
      </c>
      <c r="B8" s="3">
        <v>1.2</v>
      </c>
      <c r="C8" s="3">
        <v>-1</v>
      </c>
      <c r="D8" s="3">
        <v>-0.3</v>
      </c>
      <c r="E8" s="3">
        <v>0.3</v>
      </c>
    </row>
    <row r="9" spans="1:5" ht="15.75" thickBot="1" x14ac:dyDescent="0.3">
      <c r="A9" s="5">
        <v>1.2</v>
      </c>
      <c r="B9" s="5">
        <v>1.2</v>
      </c>
      <c r="C9" s="5">
        <v>-1</v>
      </c>
      <c r="D9" s="5">
        <v>-0.3</v>
      </c>
      <c r="E9" s="5">
        <v>-0.3</v>
      </c>
    </row>
    <row r="10" spans="1:5" x14ac:dyDescent="0.25">
      <c r="A10" s="3">
        <v>1.2</v>
      </c>
      <c r="B10" s="3">
        <v>1.2</v>
      </c>
      <c r="C10" s="3">
        <v>0.3</v>
      </c>
      <c r="D10" s="3">
        <v>1</v>
      </c>
      <c r="E10" s="3">
        <v>0.3</v>
      </c>
    </row>
    <row r="11" spans="1:5" x14ac:dyDescent="0.25">
      <c r="A11" s="3">
        <v>1.2</v>
      </c>
      <c r="B11" s="3">
        <v>1.2</v>
      </c>
      <c r="C11" s="3">
        <v>0.3</v>
      </c>
      <c r="D11" s="3">
        <v>1</v>
      </c>
      <c r="E11" s="3">
        <v>-0.3</v>
      </c>
    </row>
    <row r="12" spans="1:5" x14ac:dyDescent="0.25">
      <c r="A12" s="3">
        <v>1.2</v>
      </c>
      <c r="B12" s="3">
        <v>1.2</v>
      </c>
      <c r="C12" s="3">
        <v>0.3</v>
      </c>
      <c r="D12" s="3">
        <v>-1</v>
      </c>
      <c r="E12" s="3">
        <v>0.3</v>
      </c>
    </row>
    <row r="13" spans="1:5" x14ac:dyDescent="0.25">
      <c r="A13" s="4">
        <v>1.2</v>
      </c>
      <c r="B13" s="4">
        <v>1.2</v>
      </c>
      <c r="C13" s="4">
        <v>0.3</v>
      </c>
      <c r="D13" s="4">
        <v>-1</v>
      </c>
      <c r="E13" s="4">
        <v>-0.3</v>
      </c>
    </row>
    <row r="14" spans="1:5" x14ac:dyDescent="0.25">
      <c r="A14" s="3">
        <v>1.2</v>
      </c>
      <c r="B14" s="3">
        <v>1.2</v>
      </c>
      <c r="C14" s="3">
        <v>-0.3</v>
      </c>
      <c r="D14" s="3">
        <v>1</v>
      </c>
      <c r="E14" s="3">
        <v>0.3</v>
      </c>
    </row>
    <row r="15" spans="1:5" x14ac:dyDescent="0.25">
      <c r="A15" s="3">
        <v>1.2</v>
      </c>
      <c r="B15" s="3">
        <v>1.2</v>
      </c>
      <c r="C15" s="3">
        <v>-0.3</v>
      </c>
      <c r="D15" s="3">
        <v>1</v>
      </c>
      <c r="E15" s="3">
        <v>-0.3</v>
      </c>
    </row>
    <row r="16" spans="1:5" x14ac:dyDescent="0.25">
      <c r="A16" s="3">
        <v>1.2</v>
      </c>
      <c r="B16" s="3">
        <v>1.2</v>
      </c>
      <c r="C16" s="3">
        <v>-0.3</v>
      </c>
      <c r="D16" s="3">
        <v>-1</v>
      </c>
      <c r="E16" s="3">
        <v>0.3</v>
      </c>
    </row>
    <row r="17" spans="1:5" ht="15.75" thickBot="1" x14ac:dyDescent="0.3">
      <c r="A17" s="5">
        <v>1.2</v>
      </c>
      <c r="B17" s="5">
        <v>1.2</v>
      </c>
      <c r="C17" s="5">
        <v>-0.3</v>
      </c>
      <c r="D17" s="5">
        <v>-1</v>
      </c>
      <c r="E17" s="5">
        <v>-0.3</v>
      </c>
    </row>
    <row r="18" spans="1:5" x14ac:dyDescent="0.25">
      <c r="A18" s="3">
        <v>1.2</v>
      </c>
      <c r="B18" s="3">
        <v>1.2</v>
      </c>
      <c r="C18" s="3">
        <v>0.3</v>
      </c>
      <c r="D18" s="3">
        <v>0.3</v>
      </c>
      <c r="E18" s="3">
        <v>1</v>
      </c>
    </row>
    <row r="19" spans="1:5" x14ac:dyDescent="0.25">
      <c r="A19" s="3">
        <v>1.2</v>
      </c>
      <c r="B19" s="3">
        <v>1.2</v>
      </c>
      <c r="C19" s="3">
        <v>0.3</v>
      </c>
      <c r="D19" s="3">
        <v>0.3</v>
      </c>
      <c r="E19" s="3">
        <v>-1</v>
      </c>
    </row>
    <row r="20" spans="1:5" x14ac:dyDescent="0.25">
      <c r="A20" s="3">
        <v>1.2</v>
      </c>
      <c r="B20" s="3">
        <v>1.2</v>
      </c>
      <c r="C20" s="3">
        <v>0.3</v>
      </c>
      <c r="D20" s="3">
        <v>-0.3</v>
      </c>
      <c r="E20" s="3">
        <v>1</v>
      </c>
    </row>
    <row r="21" spans="1:5" x14ac:dyDescent="0.25">
      <c r="A21" s="4">
        <v>1.2</v>
      </c>
      <c r="B21" s="4">
        <v>1.2</v>
      </c>
      <c r="C21" s="4">
        <v>0.3</v>
      </c>
      <c r="D21" s="4">
        <v>-0.3</v>
      </c>
      <c r="E21" s="4">
        <v>-1</v>
      </c>
    </row>
    <row r="22" spans="1:5" x14ac:dyDescent="0.25">
      <c r="A22" s="3">
        <v>1.2</v>
      </c>
      <c r="B22" s="3">
        <v>1.2</v>
      </c>
      <c r="C22" s="3">
        <v>-0.3</v>
      </c>
      <c r="D22" s="3">
        <v>0.3</v>
      </c>
      <c r="E22" s="3">
        <v>1</v>
      </c>
    </row>
    <row r="23" spans="1:5" x14ac:dyDescent="0.25">
      <c r="A23" s="3">
        <v>1.2</v>
      </c>
      <c r="B23" s="3">
        <v>1.2</v>
      </c>
      <c r="C23" s="3">
        <v>-0.3</v>
      </c>
      <c r="D23" s="3">
        <v>0.3</v>
      </c>
      <c r="E23" s="3">
        <v>-1</v>
      </c>
    </row>
    <row r="24" spans="1:5" x14ac:dyDescent="0.25">
      <c r="A24" s="3">
        <v>1.2</v>
      </c>
      <c r="B24" s="3">
        <v>1.2</v>
      </c>
      <c r="C24" s="3">
        <v>-0.3</v>
      </c>
      <c r="D24" s="3">
        <v>-0.3</v>
      </c>
      <c r="E24" s="3">
        <v>1</v>
      </c>
    </row>
    <row r="25" spans="1:5" ht="15.75" thickBot="1" x14ac:dyDescent="0.3">
      <c r="A25" s="5">
        <v>1.2</v>
      </c>
      <c r="B25" s="5">
        <v>1.2</v>
      </c>
      <c r="C25" s="5">
        <v>-0.3</v>
      </c>
      <c r="D25" s="5">
        <v>-0.3</v>
      </c>
      <c r="E25" s="5">
        <v>-1</v>
      </c>
    </row>
    <row r="26" spans="1:5" x14ac:dyDescent="0.25">
      <c r="A26" s="3">
        <v>1.5</v>
      </c>
      <c r="B26" s="3">
        <v>0</v>
      </c>
      <c r="C26" s="3">
        <v>1</v>
      </c>
      <c r="D26" s="3">
        <v>0.3</v>
      </c>
      <c r="E26" s="3">
        <v>0.3</v>
      </c>
    </row>
    <row r="27" spans="1:5" x14ac:dyDescent="0.25">
      <c r="A27" s="3">
        <v>1.5</v>
      </c>
      <c r="B27" s="3">
        <v>0</v>
      </c>
      <c r="C27" s="3">
        <v>1</v>
      </c>
      <c r="D27" s="3">
        <v>0.3</v>
      </c>
      <c r="E27" s="3">
        <v>-0.3</v>
      </c>
    </row>
    <row r="28" spans="1:5" x14ac:dyDescent="0.25">
      <c r="A28" s="3">
        <v>1.5</v>
      </c>
      <c r="B28" s="3">
        <v>0</v>
      </c>
      <c r="C28" s="3">
        <v>1</v>
      </c>
      <c r="D28" s="3">
        <v>-0.3</v>
      </c>
      <c r="E28" s="3">
        <v>0.3</v>
      </c>
    </row>
    <row r="29" spans="1:5" x14ac:dyDescent="0.25">
      <c r="A29" s="3">
        <v>1.5</v>
      </c>
      <c r="B29" s="3">
        <v>0</v>
      </c>
      <c r="C29" s="4">
        <v>1</v>
      </c>
      <c r="D29" s="4">
        <v>-0.3</v>
      </c>
      <c r="E29" s="4">
        <v>-0.3</v>
      </c>
    </row>
    <row r="30" spans="1:5" x14ac:dyDescent="0.25">
      <c r="A30" s="3">
        <v>1.5</v>
      </c>
      <c r="B30" s="3">
        <v>0</v>
      </c>
      <c r="C30" s="3">
        <v>-1</v>
      </c>
      <c r="D30" s="3">
        <v>0.3</v>
      </c>
      <c r="E30" s="3">
        <v>0.3</v>
      </c>
    </row>
    <row r="31" spans="1:5" x14ac:dyDescent="0.25">
      <c r="A31" s="3">
        <v>1.5</v>
      </c>
      <c r="B31" s="3">
        <v>0</v>
      </c>
      <c r="C31" s="3">
        <v>-1</v>
      </c>
      <c r="D31" s="3">
        <v>0.3</v>
      </c>
      <c r="E31" s="3">
        <v>-0.3</v>
      </c>
    </row>
    <row r="32" spans="1:5" x14ac:dyDescent="0.25">
      <c r="A32" s="3">
        <v>1.5</v>
      </c>
      <c r="B32" s="3">
        <v>0</v>
      </c>
      <c r="C32" s="3">
        <v>-1</v>
      </c>
      <c r="D32" s="3">
        <v>-0.3</v>
      </c>
      <c r="E32" s="3">
        <v>0.3</v>
      </c>
    </row>
    <row r="33" spans="1:5" ht="15.75" thickBot="1" x14ac:dyDescent="0.3">
      <c r="A33" s="6">
        <v>1.5</v>
      </c>
      <c r="B33" s="6">
        <v>0</v>
      </c>
      <c r="C33" s="5">
        <v>-1</v>
      </c>
      <c r="D33" s="5">
        <v>-0.3</v>
      </c>
      <c r="E33" s="5">
        <v>-0.3</v>
      </c>
    </row>
    <row r="34" spans="1:5" x14ac:dyDescent="0.25">
      <c r="A34" s="3">
        <v>1.5</v>
      </c>
      <c r="B34" s="3">
        <v>0</v>
      </c>
      <c r="C34" s="3">
        <v>0.3</v>
      </c>
      <c r="D34" s="3">
        <v>1</v>
      </c>
      <c r="E34" s="3">
        <v>0.3</v>
      </c>
    </row>
    <row r="35" spans="1:5" x14ac:dyDescent="0.25">
      <c r="A35" s="3">
        <v>1.5</v>
      </c>
      <c r="B35" s="3">
        <v>0</v>
      </c>
      <c r="C35" s="3">
        <v>0.3</v>
      </c>
      <c r="D35" s="3">
        <v>1</v>
      </c>
      <c r="E35" s="3">
        <v>-0.3</v>
      </c>
    </row>
    <row r="36" spans="1:5" x14ac:dyDescent="0.25">
      <c r="A36" s="3">
        <v>1.5</v>
      </c>
      <c r="B36" s="3">
        <v>0</v>
      </c>
      <c r="C36" s="3">
        <v>0.3</v>
      </c>
      <c r="D36" s="3">
        <v>-1</v>
      </c>
      <c r="E36" s="3">
        <v>0.3</v>
      </c>
    </row>
    <row r="37" spans="1:5" x14ac:dyDescent="0.25">
      <c r="A37" s="3">
        <v>1.5</v>
      </c>
      <c r="B37" s="3">
        <v>0</v>
      </c>
      <c r="C37" s="4">
        <v>0.3</v>
      </c>
      <c r="D37" s="4">
        <v>-1</v>
      </c>
      <c r="E37" s="4">
        <v>-0.3</v>
      </c>
    </row>
    <row r="38" spans="1:5" x14ac:dyDescent="0.25">
      <c r="A38" s="3">
        <v>1.5</v>
      </c>
      <c r="B38" s="3">
        <v>0</v>
      </c>
      <c r="C38" s="3">
        <v>-0.3</v>
      </c>
      <c r="D38" s="3">
        <v>1</v>
      </c>
      <c r="E38" s="3">
        <v>0.3</v>
      </c>
    </row>
    <row r="39" spans="1:5" x14ac:dyDescent="0.25">
      <c r="A39" s="3">
        <v>1.5</v>
      </c>
      <c r="B39" s="3">
        <v>0</v>
      </c>
      <c r="C39" s="3">
        <v>-0.3</v>
      </c>
      <c r="D39" s="3">
        <v>1</v>
      </c>
      <c r="E39" s="3">
        <v>-0.3</v>
      </c>
    </row>
    <row r="40" spans="1:5" x14ac:dyDescent="0.25">
      <c r="A40" s="3">
        <v>1.5</v>
      </c>
      <c r="B40" s="3">
        <v>0</v>
      </c>
      <c r="C40" s="3">
        <v>-0.3</v>
      </c>
      <c r="D40" s="3">
        <v>-1</v>
      </c>
      <c r="E40" s="3">
        <v>0.3</v>
      </c>
    </row>
    <row r="41" spans="1:5" ht="15.75" thickBot="1" x14ac:dyDescent="0.3">
      <c r="A41" s="6">
        <v>1.5</v>
      </c>
      <c r="B41" s="6">
        <v>0</v>
      </c>
      <c r="C41" s="5">
        <v>-0.3</v>
      </c>
      <c r="D41" s="5">
        <v>-1</v>
      </c>
      <c r="E41" s="5">
        <v>-0.3</v>
      </c>
    </row>
    <row r="42" spans="1:5" x14ac:dyDescent="0.25">
      <c r="A42" s="4">
        <v>1.5</v>
      </c>
      <c r="B42" s="4">
        <v>0</v>
      </c>
      <c r="C42" s="3">
        <v>0.3</v>
      </c>
      <c r="D42" s="3">
        <v>0.3</v>
      </c>
      <c r="E42" s="3">
        <v>1</v>
      </c>
    </row>
    <row r="43" spans="1:5" x14ac:dyDescent="0.25">
      <c r="A43" s="4">
        <v>1.5</v>
      </c>
      <c r="B43" s="4">
        <v>0</v>
      </c>
      <c r="C43" s="3">
        <v>0.3</v>
      </c>
      <c r="D43" s="3">
        <v>0.3</v>
      </c>
      <c r="E43" s="3">
        <v>-1</v>
      </c>
    </row>
    <row r="44" spans="1:5" x14ac:dyDescent="0.25">
      <c r="A44" s="4">
        <v>1.5</v>
      </c>
      <c r="B44" s="4">
        <v>0</v>
      </c>
      <c r="C44" s="3">
        <v>0.3</v>
      </c>
      <c r="D44" s="3">
        <v>-0.3</v>
      </c>
      <c r="E44" s="3">
        <v>1</v>
      </c>
    </row>
    <row r="45" spans="1:5" x14ac:dyDescent="0.25">
      <c r="A45" s="4">
        <v>1.5</v>
      </c>
      <c r="B45" s="4">
        <v>0</v>
      </c>
      <c r="C45" s="4">
        <v>0.3</v>
      </c>
      <c r="D45" s="4">
        <v>-0.3</v>
      </c>
      <c r="E45" s="4">
        <v>-1</v>
      </c>
    </row>
    <row r="46" spans="1:5" x14ac:dyDescent="0.25">
      <c r="A46" s="4">
        <v>1.5</v>
      </c>
      <c r="B46" s="4">
        <v>0</v>
      </c>
      <c r="C46" s="3">
        <v>-0.3</v>
      </c>
      <c r="D46" s="3">
        <v>0.3</v>
      </c>
      <c r="E46" s="3">
        <v>1</v>
      </c>
    </row>
    <row r="47" spans="1:5" x14ac:dyDescent="0.25">
      <c r="A47" s="4">
        <v>1.5</v>
      </c>
      <c r="B47" s="4">
        <v>0</v>
      </c>
      <c r="C47" s="3">
        <v>-0.3</v>
      </c>
      <c r="D47" s="3">
        <v>0.3</v>
      </c>
      <c r="E47" s="3">
        <v>-1</v>
      </c>
    </row>
    <row r="48" spans="1:5" x14ac:dyDescent="0.25">
      <c r="A48" s="4">
        <v>1.5</v>
      </c>
      <c r="B48" s="4">
        <v>0</v>
      </c>
      <c r="C48" s="3">
        <v>-0.3</v>
      </c>
      <c r="D48" s="3">
        <v>-0.3</v>
      </c>
      <c r="E48" s="3">
        <v>1</v>
      </c>
    </row>
    <row r="49" spans="1:5" ht="15.75" thickBot="1" x14ac:dyDescent="0.3">
      <c r="A49" s="5">
        <v>1.5</v>
      </c>
      <c r="B49" s="5">
        <v>0</v>
      </c>
      <c r="C49" s="5">
        <v>-0.3</v>
      </c>
      <c r="D49" s="5">
        <v>-0.3</v>
      </c>
      <c r="E49" s="5">
        <v>-1</v>
      </c>
    </row>
    <row r="50" spans="1:5" x14ac:dyDescent="0.25">
      <c r="A50" s="4">
        <v>0.9</v>
      </c>
      <c r="B50" s="4">
        <v>0</v>
      </c>
      <c r="C50" s="4">
        <v>1</v>
      </c>
      <c r="D50" s="4">
        <v>0.3</v>
      </c>
      <c r="E50" s="4">
        <v>0.3</v>
      </c>
    </row>
    <row r="51" spans="1:5" x14ac:dyDescent="0.25">
      <c r="A51" s="4">
        <v>0.9</v>
      </c>
      <c r="B51" s="4">
        <v>0</v>
      </c>
      <c r="C51" s="4">
        <v>1</v>
      </c>
      <c r="D51" s="4">
        <v>0.3</v>
      </c>
      <c r="E51" s="4">
        <v>-0.3</v>
      </c>
    </row>
    <row r="52" spans="1:5" x14ac:dyDescent="0.25">
      <c r="A52" s="4">
        <v>0.9</v>
      </c>
      <c r="B52" s="4">
        <v>0</v>
      </c>
      <c r="C52" s="4">
        <v>1</v>
      </c>
      <c r="D52" s="4">
        <v>-0.3</v>
      </c>
      <c r="E52" s="4">
        <v>0.3</v>
      </c>
    </row>
    <row r="53" spans="1:5" x14ac:dyDescent="0.25">
      <c r="A53" s="4">
        <v>0.9</v>
      </c>
      <c r="B53" s="4">
        <v>0</v>
      </c>
      <c r="C53" s="4">
        <v>1</v>
      </c>
      <c r="D53" s="4">
        <v>-0.3</v>
      </c>
      <c r="E53" s="4">
        <v>-0.3</v>
      </c>
    </row>
    <row r="54" spans="1:5" x14ac:dyDescent="0.25">
      <c r="A54" s="4">
        <v>0.9</v>
      </c>
      <c r="B54" s="4">
        <v>0</v>
      </c>
      <c r="C54" s="4">
        <v>-1</v>
      </c>
      <c r="D54" s="4">
        <v>0.3</v>
      </c>
      <c r="E54" s="4">
        <v>0.3</v>
      </c>
    </row>
    <row r="55" spans="1:5" x14ac:dyDescent="0.25">
      <c r="A55" s="4">
        <v>0.9</v>
      </c>
      <c r="B55" s="4">
        <v>0</v>
      </c>
      <c r="C55" s="4">
        <v>-1</v>
      </c>
      <c r="D55" s="4">
        <v>0.3</v>
      </c>
      <c r="E55" s="4">
        <v>-0.3</v>
      </c>
    </row>
    <row r="56" spans="1:5" x14ac:dyDescent="0.25">
      <c r="A56" s="4">
        <v>0.9</v>
      </c>
      <c r="B56" s="4">
        <v>0</v>
      </c>
      <c r="C56" s="4">
        <v>-1</v>
      </c>
      <c r="D56" s="4">
        <v>-0.3</v>
      </c>
      <c r="E56" s="4">
        <v>0.3</v>
      </c>
    </row>
    <row r="57" spans="1:5" ht="15.75" thickBot="1" x14ac:dyDescent="0.3">
      <c r="A57" s="5">
        <v>0.9</v>
      </c>
      <c r="B57" s="5">
        <v>0</v>
      </c>
      <c r="C57" s="5">
        <v>-1</v>
      </c>
      <c r="D57" s="5">
        <v>-0.3</v>
      </c>
      <c r="E57" s="5">
        <v>-0.3</v>
      </c>
    </row>
    <row r="58" spans="1:5" x14ac:dyDescent="0.25">
      <c r="A58" s="4">
        <v>0.9</v>
      </c>
      <c r="B58" s="4">
        <v>0</v>
      </c>
      <c r="C58" s="4">
        <v>0.3</v>
      </c>
      <c r="D58" s="4">
        <v>1</v>
      </c>
      <c r="E58" s="4">
        <v>0.3</v>
      </c>
    </row>
    <row r="59" spans="1:5" x14ac:dyDescent="0.25">
      <c r="A59" s="4">
        <v>0.9</v>
      </c>
      <c r="B59" s="4">
        <v>0</v>
      </c>
      <c r="C59" s="4">
        <v>0.3</v>
      </c>
      <c r="D59" s="4">
        <v>1</v>
      </c>
      <c r="E59" s="4">
        <v>-0.3</v>
      </c>
    </row>
    <row r="60" spans="1:5" x14ac:dyDescent="0.25">
      <c r="A60" s="4">
        <v>0.9</v>
      </c>
      <c r="B60" s="4">
        <v>0</v>
      </c>
      <c r="C60" s="4">
        <v>0.3</v>
      </c>
      <c r="D60" s="4">
        <v>-1</v>
      </c>
      <c r="E60" s="4">
        <v>0.3</v>
      </c>
    </row>
    <row r="61" spans="1:5" x14ac:dyDescent="0.25">
      <c r="A61" s="4">
        <v>0.9</v>
      </c>
      <c r="B61" s="4">
        <v>0</v>
      </c>
      <c r="C61" s="4">
        <v>0.3</v>
      </c>
      <c r="D61" s="4">
        <v>-1</v>
      </c>
      <c r="E61" s="4">
        <v>-0.3</v>
      </c>
    </row>
    <row r="62" spans="1:5" x14ac:dyDescent="0.25">
      <c r="A62" s="4">
        <v>0.9</v>
      </c>
      <c r="B62" s="4">
        <v>0</v>
      </c>
      <c r="C62" s="4">
        <v>-0.3</v>
      </c>
      <c r="D62" s="4">
        <v>1</v>
      </c>
      <c r="E62" s="4">
        <v>0.3</v>
      </c>
    </row>
    <row r="63" spans="1:5" x14ac:dyDescent="0.25">
      <c r="A63" s="4">
        <v>0.9</v>
      </c>
      <c r="B63" s="4">
        <v>0</v>
      </c>
      <c r="C63" s="4">
        <v>-0.3</v>
      </c>
      <c r="D63" s="4">
        <v>1</v>
      </c>
      <c r="E63" s="4">
        <v>-0.3</v>
      </c>
    </row>
    <row r="64" spans="1:5" x14ac:dyDescent="0.25">
      <c r="A64" s="4">
        <v>0.9</v>
      </c>
      <c r="B64" s="4">
        <v>0</v>
      </c>
      <c r="C64" s="4">
        <v>-0.3</v>
      </c>
      <c r="D64" s="4">
        <v>-1</v>
      </c>
      <c r="E64" s="4">
        <v>0.3</v>
      </c>
    </row>
    <row r="65" spans="1:5" ht="15.75" thickBot="1" x14ac:dyDescent="0.3">
      <c r="A65" s="5">
        <v>0.9</v>
      </c>
      <c r="B65" s="5">
        <v>0</v>
      </c>
      <c r="C65" s="5">
        <v>-0.3</v>
      </c>
      <c r="D65" s="5">
        <v>-1</v>
      </c>
      <c r="E65" s="5">
        <v>-0.3</v>
      </c>
    </row>
    <row r="66" spans="1:5" x14ac:dyDescent="0.25">
      <c r="A66" s="4">
        <v>0.9</v>
      </c>
      <c r="B66" s="4">
        <v>0</v>
      </c>
      <c r="C66" s="4">
        <v>0.3</v>
      </c>
      <c r="D66" s="4">
        <v>0.3</v>
      </c>
      <c r="E66" s="4">
        <v>1</v>
      </c>
    </row>
    <row r="67" spans="1:5" x14ac:dyDescent="0.25">
      <c r="A67" s="4">
        <v>0.9</v>
      </c>
      <c r="B67" s="4">
        <v>0</v>
      </c>
      <c r="C67" s="4">
        <v>0.3</v>
      </c>
      <c r="D67" s="4">
        <v>0.3</v>
      </c>
      <c r="E67" s="4">
        <v>-1</v>
      </c>
    </row>
    <row r="68" spans="1:5" x14ac:dyDescent="0.25">
      <c r="A68" s="4">
        <v>0.9</v>
      </c>
      <c r="B68" s="4">
        <v>0</v>
      </c>
      <c r="C68" s="4">
        <v>0.3</v>
      </c>
      <c r="D68" s="4">
        <v>-0.3</v>
      </c>
      <c r="E68" s="4">
        <v>1</v>
      </c>
    </row>
    <row r="69" spans="1:5" x14ac:dyDescent="0.25">
      <c r="A69" s="4">
        <v>0.9</v>
      </c>
      <c r="B69" s="4">
        <v>0</v>
      </c>
      <c r="C69" s="4">
        <v>0.3</v>
      </c>
      <c r="D69" s="4">
        <v>-0.3</v>
      </c>
      <c r="E69" s="4">
        <v>-1</v>
      </c>
    </row>
    <row r="70" spans="1:5" x14ac:dyDescent="0.25">
      <c r="A70" s="4">
        <v>0.9</v>
      </c>
      <c r="B70" s="4">
        <v>0</v>
      </c>
      <c r="C70" s="4">
        <v>-0.3</v>
      </c>
      <c r="D70" s="4">
        <v>0.3</v>
      </c>
      <c r="E70" s="4">
        <v>1</v>
      </c>
    </row>
    <row r="71" spans="1:5" x14ac:dyDescent="0.25">
      <c r="A71" s="4">
        <v>0.9</v>
      </c>
      <c r="B71" s="4">
        <v>0</v>
      </c>
      <c r="C71" s="4">
        <v>-0.3</v>
      </c>
      <c r="D71" s="4">
        <v>0.3</v>
      </c>
      <c r="E71" s="4">
        <v>-1</v>
      </c>
    </row>
    <row r="72" spans="1:5" x14ac:dyDescent="0.25">
      <c r="A72" s="4">
        <v>0.9</v>
      </c>
      <c r="B72" s="4">
        <v>0</v>
      </c>
      <c r="C72" s="4">
        <v>-0.3</v>
      </c>
      <c r="D72" s="4">
        <v>-0.3</v>
      </c>
      <c r="E72" s="4">
        <v>1</v>
      </c>
    </row>
    <row r="73" spans="1:5" ht="15.75" thickBot="1" x14ac:dyDescent="0.3">
      <c r="A73" s="5">
        <v>0.9</v>
      </c>
      <c r="B73" s="5">
        <v>0</v>
      </c>
      <c r="C73" s="5">
        <v>-0.3</v>
      </c>
      <c r="D73" s="5">
        <v>-0.3</v>
      </c>
      <c r="E73" s="5">
        <v>-1</v>
      </c>
    </row>
    <row r="74" spans="1:5" x14ac:dyDescent="0.25">
      <c r="A74" s="4">
        <v>1.2</v>
      </c>
      <c r="B74" s="4">
        <v>0.5</v>
      </c>
      <c r="C74" s="4">
        <v>2.5</v>
      </c>
      <c r="D74" s="4">
        <v>0.75</v>
      </c>
      <c r="E74" s="4">
        <v>0.75</v>
      </c>
    </row>
    <row r="75" spans="1:5" x14ac:dyDescent="0.25">
      <c r="A75" s="4">
        <v>1.2</v>
      </c>
      <c r="B75" s="4">
        <v>0.5</v>
      </c>
      <c r="C75" s="4">
        <v>2.5</v>
      </c>
      <c r="D75" s="4">
        <v>0.75</v>
      </c>
      <c r="E75" s="4">
        <v>-0.75</v>
      </c>
    </row>
    <row r="76" spans="1:5" x14ac:dyDescent="0.25">
      <c r="A76" s="4">
        <v>1.2</v>
      </c>
      <c r="B76" s="4">
        <v>0.5</v>
      </c>
      <c r="C76" s="4">
        <v>2.5</v>
      </c>
      <c r="D76" s="4">
        <v>-0.75</v>
      </c>
      <c r="E76" s="4">
        <v>0.75</v>
      </c>
    </row>
    <row r="77" spans="1:5" x14ac:dyDescent="0.25">
      <c r="A77" s="4">
        <v>1.2</v>
      </c>
      <c r="B77" s="4">
        <v>0.5</v>
      </c>
      <c r="C77" s="4">
        <v>2.5</v>
      </c>
      <c r="D77" s="4">
        <v>-0.75</v>
      </c>
      <c r="E77" s="4">
        <v>-0.75</v>
      </c>
    </row>
    <row r="78" spans="1:5" x14ac:dyDescent="0.25">
      <c r="A78" s="4">
        <v>1.2</v>
      </c>
      <c r="B78" s="4">
        <v>0.5</v>
      </c>
      <c r="C78" s="4">
        <v>-2.5</v>
      </c>
      <c r="D78" s="4">
        <v>0.75</v>
      </c>
      <c r="E78" s="4">
        <v>0.75</v>
      </c>
    </row>
    <row r="79" spans="1:5" x14ac:dyDescent="0.25">
      <c r="A79" s="4">
        <v>1.2</v>
      </c>
      <c r="B79" s="4">
        <v>0.5</v>
      </c>
      <c r="C79" s="4">
        <v>-2.5</v>
      </c>
      <c r="D79" s="4">
        <v>0.75</v>
      </c>
      <c r="E79" s="4">
        <v>-0.75</v>
      </c>
    </row>
    <row r="80" spans="1:5" x14ac:dyDescent="0.25">
      <c r="A80" s="4">
        <v>1.2</v>
      </c>
      <c r="B80" s="4">
        <v>0.5</v>
      </c>
      <c r="C80" s="4">
        <v>-2.5</v>
      </c>
      <c r="D80" s="4">
        <v>-0.75</v>
      </c>
      <c r="E80" s="4">
        <v>0.75</v>
      </c>
    </row>
    <row r="81" spans="1:5" ht="15.75" thickBot="1" x14ac:dyDescent="0.3">
      <c r="A81" s="5">
        <v>1.2</v>
      </c>
      <c r="B81" s="5">
        <v>0.5</v>
      </c>
      <c r="C81" s="5">
        <v>-2.5</v>
      </c>
      <c r="D81" s="5">
        <v>-0.75</v>
      </c>
      <c r="E81" s="5">
        <v>-0.75</v>
      </c>
    </row>
    <row r="82" spans="1:5" x14ac:dyDescent="0.25">
      <c r="A82" s="4">
        <v>1.2</v>
      </c>
      <c r="B82" s="4">
        <v>0.5</v>
      </c>
      <c r="C82" s="4">
        <v>0.75</v>
      </c>
      <c r="D82" s="4">
        <v>2.5</v>
      </c>
      <c r="E82" s="4">
        <v>0.75</v>
      </c>
    </row>
    <row r="83" spans="1:5" x14ac:dyDescent="0.25">
      <c r="A83" s="4">
        <v>1.2</v>
      </c>
      <c r="B83" s="4">
        <v>0.5</v>
      </c>
      <c r="C83" s="4">
        <v>0.75</v>
      </c>
      <c r="D83" s="4">
        <v>2.5</v>
      </c>
      <c r="E83" s="4">
        <v>-0.75</v>
      </c>
    </row>
    <row r="84" spans="1:5" x14ac:dyDescent="0.25">
      <c r="A84" s="4">
        <v>1.2</v>
      </c>
      <c r="B84" s="4">
        <v>0.5</v>
      </c>
      <c r="C84" s="4">
        <v>0.75</v>
      </c>
      <c r="D84" s="4">
        <v>-2.5</v>
      </c>
      <c r="E84" s="4">
        <v>0.75</v>
      </c>
    </row>
    <row r="85" spans="1:5" x14ac:dyDescent="0.25">
      <c r="A85" s="4">
        <v>1.2</v>
      </c>
      <c r="B85" s="4">
        <v>0.5</v>
      </c>
      <c r="C85" s="4">
        <v>0.75</v>
      </c>
      <c r="D85" s="4">
        <v>-2.5</v>
      </c>
      <c r="E85" s="4">
        <v>-0.75</v>
      </c>
    </row>
    <row r="86" spans="1:5" x14ac:dyDescent="0.25">
      <c r="A86" s="4">
        <v>1.2</v>
      </c>
      <c r="B86" s="4">
        <v>0.5</v>
      </c>
      <c r="C86" s="4">
        <v>-0.75</v>
      </c>
      <c r="D86" s="4">
        <v>2.5</v>
      </c>
      <c r="E86" s="4">
        <v>0.75</v>
      </c>
    </row>
    <row r="87" spans="1:5" x14ac:dyDescent="0.25">
      <c r="A87" s="4">
        <v>1.2</v>
      </c>
      <c r="B87" s="4">
        <v>0.5</v>
      </c>
      <c r="C87" s="4">
        <v>-0.75</v>
      </c>
      <c r="D87" s="4">
        <v>2.5</v>
      </c>
      <c r="E87" s="4">
        <v>-0.75</v>
      </c>
    </row>
    <row r="88" spans="1:5" x14ac:dyDescent="0.25">
      <c r="A88" s="4">
        <v>1.2</v>
      </c>
      <c r="B88" s="4">
        <v>0.5</v>
      </c>
      <c r="C88" s="4">
        <v>-0.75</v>
      </c>
      <c r="D88" s="4">
        <v>-2.5</v>
      </c>
      <c r="E88" s="4">
        <v>0.75</v>
      </c>
    </row>
    <row r="89" spans="1:5" ht="15.75" thickBot="1" x14ac:dyDescent="0.3">
      <c r="A89" s="5">
        <v>1.2</v>
      </c>
      <c r="B89" s="5">
        <v>0.5</v>
      </c>
      <c r="C89" s="5">
        <v>-0.75</v>
      </c>
      <c r="D89" s="5">
        <v>-2.5</v>
      </c>
      <c r="E89" s="5">
        <v>-0.75</v>
      </c>
    </row>
    <row r="90" spans="1:5" x14ac:dyDescent="0.25">
      <c r="A90" s="4">
        <v>1.2</v>
      </c>
      <c r="B90" s="4">
        <v>0.5</v>
      </c>
      <c r="C90" s="4">
        <v>0.75</v>
      </c>
      <c r="D90" s="4">
        <v>0.75</v>
      </c>
      <c r="E90" s="4">
        <v>2.5</v>
      </c>
    </row>
    <row r="91" spans="1:5" x14ac:dyDescent="0.25">
      <c r="A91" s="4">
        <v>1.2</v>
      </c>
      <c r="B91" s="4">
        <v>0.5</v>
      </c>
      <c r="C91" s="4">
        <v>0.75</v>
      </c>
      <c r="D91" s="4">
        <v>0.75</v>
      </c>
      <c r="E91" s="4">
        <v>-2.5</v>
      </c>
    </row>
    <row r="92" spans="1:5" x14ac:dyDescent="0.25">
      <c r="A92" s="4">
        <v>1.2</v>
      </c>
      <c r="B92" s="4">
        <v>0.5</v>
      </c>
      <c r="C92" s="4">
        <v>0.75</v>
      </c>
      <c r="D92" s="4">
        <v>-0.75</v>
      </c>
      <c r="E92" s="4">
        <v>2.5</v>
      </c>
    </row>
    <row r="93" spans="1:5" x14ac:dyDescent="0.25">
      <c r="A93" s="4">
        <v>1.2</v>
      </c>
      <c r="B93" s="4">
        <v>0.5</v>
      </c>
      <c r="C93" s="4">
        <v>0.75</v>
      </c>
      <c r="D93" s="4">
        <v>-0.75</v>
      </c>
      <c r="E93" s="4">
        <v>-2.5</v>
      </c>
    </row>
    <row r="94" spans="1:5" x14ac:dyDescent="0.25">
      <c r="A94" s="4">
        <v>1.2</v>
      </c>
      <c r="B94" s="4">
        <v>0.5</v>
      </c>
      <c r="C94" s="4">
        <v>-0.75</v>
      </c>
      <c r="D94" s="4">
        <v>0.75</v>
      </c>
      <c r="E94" s="4">
        <v>2.5</v>
      </c>
    </row>
    <row r="95" spans="1:5" x14ac:dyDescent="0.25">
      <c r="A95" s="4">
        <v>1.2</v>
      </c>
      <c r="B95" s="4">
        <v>0.5</v>
      </c>
      <c r="C95" s="4">
        <v>-0.75</v>
      </c>
      <c r="D95" s="4">
        <v>0.75</v>
      </c>
      <c r="E95" s="4">
        <v>-2.5</v>
      </c>
    </row>
    <row r="96" spans="1:5" x14ac:dyDescent="0.25">
      <c r="A96" s="4">
        <v>1.2</v>
      </c>
      <c r="B96" s="4">
        <v>0.5</v>
      </c>
      <c r="C96" s="4">
        <v>-0.75</v>
      </c>
      <c r="D96" s="4">
        <v>-0.75</v>
      </c>
      <c r="E96" s="4">
        <v>2.5</v>
      </c>
    </row>
    <row r="97" spans="1:5" ht="15.75" thickBot="1" x14ac:dyDescent="0.3">
      <c r="A97" s="5">
        <v>1.2</v>
      </c>
      <c r="B97" s="5">
        <v>0.5</v>
      </c>
      <c r="C97" s="5">
        <v>-0.75</v>
      </c>
      <c r="D97" s="5">
        <v>-0.75</v>
      </c>
      <c r="E97" s="5">
        <v>-2.5</v>
      </c>
    </row>
    <row r="98" spans="1:5" x14ac:dyDescent="0.25">
      <c r="A98" s="4">
        <v>0.9</v>
      </c>
      <c r="B98" s="4">
        <v>0</v>
      </c>
      <c r="C98" s="4">
        <v>2.5</v>
      </c>
      <c r="D98" s="4">
        <v>0.75</v>
      </c>
      <c r="E98" s="4">
        <v>0.75</v>
      </c>
    </row>
    <row r="99" spans="1:5" x14ac:dyDescent="0.25">
      <c r="A99" s="4">
        <v>0.9</v>
      </c>
      <c r="B99" s="4">
        <v>0</v>
      </c>
      <c r="C99" s="4">
        <v>2.5</v>
      </c>
      <c r="D99" s="4">
        <v>0.75</v>
      </c>
      <c r="E99" s="4">
        <v>-0.75</v>
      </c>
    </row>
    <row r="100" spans="1:5" x14ac:dyDescent="0.25">
      <c r="A100" s="4">
        <v>0.9</v>
      </c>
      <c r="B100" s="4">
        <v>0</v>
      </c>
      <c r="C100" s="4">
        <v>2.5</v>
      </c>
      <c r="D100" s="4">
        <v>-0.75</v>
      </c>
      <c r="E100" s="4">
        <v>0.75</v>
      </c>
    </row>
    <row r="101" spans="1:5" x14ac:dyDescent="0.25">
      <c r="A101" s="4">
        <v>0.9</v>
      </c>
      <c r="B101" s="4">
        <v>0</v>
      </c>
      <c r="C101" s="4">
        <v>2.5</v>
      </c>
      <c r="D101" s="4">
        <v>-0.75</v>
      </c>
      <c r="E101" s="4">
        <v>-0.75</v>
      </c>
    </row>
    <row r="102" spans="1:5" x14ac:dyDescent="0.25">
      <c r="A102" s="4">
        <v>0.9</v>
      </c>
      <c r="B102" s="4">
        <v>0</v>
      </c>
      <c r="C102" s="4">
        <v>-2.5</v>
      </c>
      <c r="D102" s="4">
        <v>0.75</v>
      </c>
      <c r="E102" s="4">
        <v>0.75</v>
      </c>
    </row>
    <row r="103" spans="1:5" x14ac:dyDescent="0.25">
      <c r="A103" s="4">
        <v>0.9</v>
      </c>
      <c r="B103" s="4">
        <v>0</v>
      </c>
      <c r="C103" s="4">
        <v>-2.5</v>
      </c>
      <c r="D103" s="4">
        <v>0.75</v>
      </c>
      <c r="E103" s="4">
        <v>-0.75</v>
      </c>
    </row>
    <row r="104" spans="1:5" x14ac:dyDescent="0.25">
      <c r="A104" s="4">
        <v>0.9</v>
      </c>
      <c r="B104" s="4">
        <v>0</v>
      </c>
      <c r="C104" s="4">
        <v>-2.5</v>
      </c>
      <c r="D104" s="4">
        <v>-0.75</v>
      </c>
      <c r="E104" s="4">
        <v>0.75</v>
      </c>
    </row>
    <row r="105" spans="1:5" ht="15.75" thickBot="1" x14ac:dyDescent="0.3">
      <c r="A105" s="5">
        <v>0.9</v>
      </c>
      <c r="B105" s="5">
        <v>0</v>
      </c>
      <c r="C105" s="5">
        <v>-2.5</v>
      </c>
      <c r="D105" s="5">
        <v>-0.75</v>
      </c>
      <c r="E105" s="5">
        <v>-0.75</v>
      </c>
    </row>
    <row r="106" spans="1:5" x14ac:dyDescent="0.25">
      <c r="A106" s="4">
        <v>0.9</v>
      </c>
      <c r="B106" s="4">
        <v>0</v>
      </c>
      <c r="C106" s="4">
        <v>0.75</v>
      </c>
      <c r="D106" s="4">
        <v>2.5</v>
      </c>
      <c r="E106" s="4">
        <v>0.75</v>
      </c>
    </row>
    <row r="107" spans="1:5" x14ac:dyDescent="0.25">
      <c r="A107" s="4">
        <v>0.9</v>
      </c>
      <c r="B107" s="4">
        <v>0</v>
      </c>
      <c r="C107" s="4">
        <v>0.75</v>
      </c>
      <c r="D107" s="4">
        <v>2.5</v>
      </c>
      <c r="E107" s="4">
        <v>-0.75</v>
      </c>
    </row>
    <row r="108" spans="1:5" x14ac:dyDescent="0.25">
      <c r="A108" s="4">
        <v>0.9</v>
      </c>
      <c r="B108" s="4">
        <v>0</v>
      </c>
      <c r="C108" s="4">
        <v>0.75</v>
      </c>
      <c r="D108" s="4">
        <v>-2.5</v>
      </c>
      <c r="E108" s="4">
        <v>0.75</v>
      </c>
    </row>
    <row r="109" spans="1:5" x14ac:dyDescent="0.25">
      <c r="A109" s="4">
        <v>0.9</v>
      </c>
      <c r="B109" s="4">
        <v>0</v>
      </c>
      <c r="C109" s="4">
        <v>0.75</v>
      </c>
      <c r="D109" s="4">
        <v>-2.5</v>
      </c>
      <c r="E109" s="4">
        <v>-0.75</v>
      </c>
    </row>
    <row r="110" spans="1:5" x14ac:dyDescent="0.25">
      <c r="A110" s="4">
        <v>0.9</v>
      </c>
      <c r="B110" s="4">
        <v>0</v>
      </c>
      <c r="C110" s="4">
        <v>-0.75</v>
      </c>
      <c r="D110" s="4">
        <v>2.5</v>
      </c>
      <c r="E110" s="4">
        <v>0.75</v>
      </c>
    </row>
    <row r="111" spans="1:5" x14ac:dyDescent="0.25">
      <c r="A111" s="4">
        <v>0.9</v>
      </c>
      <c r="B111" s="4">
        <v>0</v>
      </c>
      <c r="C111" s="4">
        <v>-0.75</v>
      </c>
      <c r="D111" s="4">
        <v>2.5</v>
      </c>
      <c r="E111" s="4">
        <v>-0.75</v>
      </c>
    </row>
    <row r="112" spans="1:5" x14ac:dyDescent="0.25">
      <c r="A112" s="4">
        <v>0.9</v>
      </c>
      <c r="B112" s="4">
        <v>0</v>
      </c>
      <c r="C112" s="4">
        <v>-0.75</v>
      </c>
      <c r="D112" s="4">
        <v>-2.5</v>
      </c>
      <c r="E112" s="4">
        <v>0.75</v>
      </c>
    </row>
    <row r="113" spans="1:5" ht="15.75" thickBot="1" x14ac:dyDescent="0.3">
      <c r="A113" s="5">
        <v>0.9</v>
      </c>
      <c r="B113" s="5">
        <v>0</v>
      </c>
      <c r="C113" s="5">
        <v>-0.75</v>
      </c>
      <c r="D113" s="5">
        <v>-2.5</v>
      </c>
      <c r="E113" s="5">
        <v>-0.75</v>
      </c>
    </row>
    <row r="114" spans="1:5" x14ac:dyDescent="0.25">
      <c r="A114" s="4">
        <v>0.9</v>
      </c>
      <c r="B114" s="4">
        <v>0</v>
      </c>
      <c r="C114" s="4">
        <v>0.75</v>
      </c>
      <c r="D114" s="4">
        <v>0.75</v>
      </c>
      <c r="E114" s="4">
        <v>2.5</v>
      </c>
    </row>
    <row r="115" spans="1:5" x14ac:dyDescent="0.25">
      <c r="A115" s="4">
        <v>0.9</v>
      </c>
      <c r="B115" s="4">
        <v>0</v>
      </c>
      <c r="C115" s="4">
        <v>0.75</v>
      </c>
      <c r="D115" s="4">
        <v>0.75</v>
      </c>
      <c r="E115" s="4">
        <v>-2.5</v>
      </c>
    </row>
    <row r="116" spans="1:5" x14ac:dyDescent="0.25">
      <c r="A116" s="4">
        <v>0.9</v>
      </c>
      <c r="B116" s="4">
        <v>0</v>
      </c>
      <c r="C116" s="4">
        <v>0.75</v>
      </c>
      <c r="D116" s="4">
        <v>-0.75</v>
      </c>
      <c r="E116" s="4">
        <v>2.5</v>
      </c>
    </row>
    <row r="117" spans="1:5" x14ac:dyDescent="0.25">
      <c r="A117" s="4">
        <v>0.9</v>
      </c>
      <c r="B117" s="4">
        <v>0</v>
      </c>
      <c r="C117" s="4">
        <v>0.75</v>
      </c>
      <c r="D117" s="4">
        <v>-0.75</v>
      </c>
      <c r="E117" s="4">
        <v>-2.5</v>
      </c>
    </row>
    <row r="118" spans="1:5" x14ac:dyDescent="0.25">
      <c r="A118" s="4">
        <v>0.9</v>
      </c>
      <c r="B118" s="4">
        <v>0</v>
      </c>
      <c r="C118" s="4">
        <v>-0.75</v>
      </c>
      <c r="D118" s="4">
        <v>0.75</v>
      </c>
      <c r="E118" s="4">
        <v>2.5</v>
      </c>
    </row>
    <row r="119" spans="1:5" x14ac:dyDescent="0.25">
      <c r="A119" s="4">
        <v>0.9</v>
      </c>
      <c r="B119" s="4">
        <v>0</v>
      </c>
      <c r="C119" s="4">
        <v>-0.75</v>
      </c>
      <c r="D119" s="4">
        <v>0.75</v>
      </c>
      <c r="E119" s="4">
        <v>-2.5</v>
      </c>
    </row>
    <row r="120" spans="1:5" x14ac:dyDescent="0.25">
      <c r="A120" s="4">
        <v>0.9</v>
      </c>
      <c r="B120" s="4">
        <v>0</v>
      </c>
      <c r="C120" s="4">
        <v>-0.75</v>
      </c>
      <c r="D120" s="4">
        <v>-0.75</v>
      </c>
      <c r="E120" s="4">
        <v>2.5</v>
      </c>
    </row>
    <row r="121" spans="1:5" ht="15.75" thickBot="1" x14ac:dyDescent="0.3">
      <c r="A121" s="5">
        <v>0.9</v>
      </c>
      <c r="B121" s="5">
        <v>0</v>
      </c>
      <c r="C121" s="5">
        <v>-0.75</v>
      </c>
      <c r="D121" s="5">
        <v>-0.75</v>
      </c>
      <c r="E121" s="5">
        <v>-2.5</v>
      </c>
    </row>
    <row r="122" spans="1:5" x14ac:dyDescent="0.25">
      <c r="A122" s="7">
        <v>1.5</v>
      </c>
      <c r="B122" s="7">
        <v>1.5</v>
      </c>
      <c r="C122" s="7">
        <v>0</v>
      </c>
      <c r="D122" s="7">
        <v>0</v>
      </c>
      <c r="E122" s="7">
        <v>0</v>
      </c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7E819B-6639-410F-82AD-2283C558958B}">
  <sheetPr codeName="Sheet2"/>
  <dimension ref="A1:L31"/>
  <sheetViews>
    <sheetView workbookViewId="0">
      <selection activeCell="G24" sqref="G24"/>
    </sheetView>
  </sheetViews>
  <sheetFormatPr defaultRowHeight="15" x14ac:dyDescent="0.25"/>
  <cols>
    <col min="2" max="3" width="0" hidden="1" customWidth="1"/>
    <col min="4" max="4" width="7.5703125" customWidth="1"/>
  </cols>
  <sheetData>
    <row r="1" spans="1:12" x14ac:dyDescent="0.25">
      <c r="A1" s="1" t="s">
        <v>4</v>
      </c>
      <c r="B1" s="1" t="s">
        <v>5</v>
      </c>
      <c r="C1" s="1" t="s">
        <v>6</v>
      </c>
      <c r="D1" s="1" t="s">
        <v>7</v>
      </c>
    </row>
    <row r="2" spans="1:12" x14ac:dyDescent="0.25">
      <c r="A2" s="1">
        <v>0.01</v>
      </c>
      <c r="B2" s="1" cm="1">
        <f t="array" ref="B2">_xlfn.IFS(A2&lt;=0.01,1,AND(A2&gt;0.01,A2&lt;=0.1),1+50*(A2-0.01)/3)</f>
        <v>1</v>
      </c>
      <c r="C2" s="1">
        <f>B2*9.81</f>
        <v>9.81</v>
      </c>
      <c r="D2" s="1">
        <f>$L$2*$L$3*B2/$L$4</f>
        <v>6.6600000000000006E-2</v>
      </c>
      <c r="K2" t="s">
        <v>8</v>
      </c>
      <c r="L2">
        <v>0.33300000000000002</v>
      </c>
    </row>
    <row r="3" spans="1:12" x14ac:dyDescent="0.25">
      <c r="A3" s="1">
        <v>0.1</v>
      </c>
      <c r="B3" s="1" cm="1">
        <f t="array" ref="B3">_xlfn.IFS(A3&lt;=0.01,1,AND(A3&gt;0.01,A3&lt;=0.1),1+50*(A3-0.01)/3,AND(A3&gt;0.1,A3&lt;=0.4),2.5,AND(A3&gt;0.4,A3&lt;=6),1/A3,AND(A3&gt;6,A3&lt;=10),6/A3^2)</f>
        <v>2.5</v>
      </c>
      <c r="C3" s="1">
        <f t="shared" ref="C3:C31" si="0">B3*9.81</f>
        <v>24.525000000000002</v>
      </c>
      <c r="D3" s="1">
        <f>$L$2*$L$3*B3/$L$4</f>
        <v>0.16650000000000001</v>
      </c>
      <c r="K3" t="s">
        <v>9</v>
      </c>
      <c r="L3">
        <v>1</v>
      </c>
    </row>
    <row r="4" spans="1:12" x14ac:dyDescent="0.25">
      <c r="A4" s="1">
        <v>0.11</v>
      </c>
      <c r="B4" s="1" cm="1">
        <f t="array" ref="B4">_xlfn.IFS(A4&lt;=0.01,1,AND(A4&gt;0.01,A4&lt;=0.1),1+50*(A4-0.01)/3,AND(A4&gt;0.1,A4&lt;=0.4),2.5,AND(A4&gt;0.4,A4&lt;=6),1/A4,AND(A4&gt;6,A4&lt;=10),6/A4^2)</f>
        <v>2.5</v>
      </c>
      <c r="C4" s="1">
        <f t="shared" si="0"/>
        <v>24.525000000000002</v>
      </c>
      <c r="D4" s="1">
        <f t="shared" ref="D4" si="1">$L$2*$L$3*B4/$L$4</f>
        <v>0.16650000000000001</v>
      </c>
      <c r="K4" t="s">
        <v>10</v>
      </c>
      <c r="L4">
        <v>5</v>
      </c>
    </row>
    <row r="5" spans="1:12" x14ac:dyDescent="0.25">
      <c r="A5" s="1">
        <v>0.2</v>
      </c>
      <c r="B5" s="1" cm="1">
        <f t="array" ref="B5">_xlfn.IFS(A5&lt;=0.01,1,AND(A5&gt;0.01,A5&lt;=0.1),1+50*(A5-0.01)/3,AND(A5&gt;0.1,A5&lt;=0.4),2.5,AND(A5&gt;0.4,A5&lt;=6),1/A5,AND(A5&gt;6,A5&lt;=10),6/A5^2)</f>
        <v>2.5</v>
      </c>
      <c r="C5" s="1">
        <f t="shared" si="0"/>
        <v>24.525000000000002</v>
      </c>
      <c r="D5" s="1">
        <f t="shared" ref="D5:D31" si="2">$L$2*$L$3*B5/$L$4</f>
        <v>0.16650000000000001</v>
      </c>
    </row>
    <row r="6" spans="1:12" x14ac:dyDescent="0.25">
      <c r="A6" s="1">
        <v>0.3</v>
      </c>
      <c r="B6" s="1" cm="1">
        <f t="array" ref="B6">_xlfn.IFS(A6&lt;=0.01,1,AND(A6&gt;0.01,A6&lt;=0.1),1+50*(A6-0.01)/3,AND(A6&gt;0.1,A6&lt;=0.4),2.5,AND(A6&gt;0.4,A6&lt;=6),1/A6,AND(A6&gt;6,A6&lt;=10),6/A6^2)</f>
        <v>2.5</v>
      </c>
      <c r="C6" s="1">
        <f t="shared" si="0"/>
        <v>24.525000000000002</v>
      </c>
      <c r="D6" s="1">
        <f t="shared" si="2"/>
        <v>0.16650000000000001</v>
      </c>
    </row>
    <row r="7" spans="1:12" x14ac:dyDescent="0.25">
      <c r="A7" s="1">
        <v>0.4</v>
      </c>
      <c r="B7" s="1" cm="1">
        <f t="array" ref="B7">_xlfn.IFS(A7&lt;=0.01,1,AND(A7&gt;0.01,A7&lt;=0.1),1+50*(A7-0.01)/3,AND(A7&gt;0.1,A7&lt;=0.4),2.5,AND(A7&gt;0.4,A7&lt;=6),1/A7,AND(A7&gt;6,A7&lt;=10),6/A7^2)</f>
        <v>2.5</v>
      </c>
      <c r="C7" s="1">
        <f t="shared" si="0"/>
        <v>24.525000000000002</v>
      </c>
      <c r="D7" s="1">
        <f t="shared" si="2"/>
        <v>0.16650000000000001</v>
      </c>
    </row>
    <row r="8" spans="1:12" x14ac:dyDescent="0.25">
      <c r="A8" s="1">
        <v>0.5</v>
      </c>
      <c r="B8" s="1" cm="1">
        <f t="array" ref="B8">_xlfn.IFS(A8&lt;=0.01,1,AND(A8&gt;0.01,A8&lt;=0.1),1+50*(A8-0.01)/3,AND(A8&gt;0.1,A8&lt;=0.4),2.5,AND(A8&gt;0.4,A8&lt;=6),1/A8,AND(A8&gt;6,A8&lt;=10),6/A8^2)</f>
        <v>2</v>
      </c>
      <c r="C8" s="1">
        <f t="shared" si="0"/>
        <v>19.62</v>
      </c>
      <c r="D8" s="1">
        <f t="shared" si="2"/>
        <v>0.13320000000000001</v>
      </c>
    </row>
    <row r="9" spans="1:12" x14ac:dyDescent="0.25">
      <c r="A9" s="1">
        <v>0.6</v>
      </c>
      <c r="B9" s="1" cm="1">
        <f t="array" ref="B9">_xlfn.IFS(A9&lt;=0.01,1,AND(A9&gt;0.01,A9&lt;=0.1),1+50*(A9-0.01)/3,AND(A9&gt;0.1,A9&lt;=0.4),2.5,AND(A9&gt;0.4,A9&lt;=6),1/A9,AND(A9&gt;6,A9&lt;=10),6/A9^2)</f>
        <v>1.6666666666666667</v>
      </c>
      <c r="C9" s="1">
        <f t="shared" si="0"/>
        <v>16.350000000000001</v>
      </c>
      <c r="D9" s="1">
        <f t="shared" si="2"/>
        <v>0.11100000000000002</v>
      </c>
    </row>
    <row r="10" spans="1:12" x14ac:dyDescent="0.25">
      <c r="A10" s="1">
        <v>0.7</v>
      </c>
      <c r="B10" s="1" cm="1">
        <f t="array" ref="B10">_xlfn.IFS(A10&lt;=0.01,1,AND(A10&gt;0.01,A10&lt;=0.1),1+50*(A10-0.01)/3,AND(A10&gt;0.1,A10&lt;=0.4),2.5,AND(A10&gt;0.4,A10&lt;=6),1/A10,AND(A10&gt;6,A10&lt;=10),6/A10^2)</f>
        <v>1.4285714285714286</v>
      </c>
      <c r="C10" s="1">
        <f t="shared" si="0"/>
        <v>14.014285714285716</v>
      </c>
      <c r="D10" s="1">
        <f t="shared" si="2"/>
        <v>9.5142857142857154E-2</v>
      </c>
    </row>
    <row r="11" spans="1:12" x14ac:dyDescent="0.25">
      <c r="A11" s="1">
        <v>0.8</v>
      </c>
      <c r="B11" s="1" cm="1">
        <f t="array" ref="B11">_xlfn.IFS(A11&lt;=0.01,1,AND(A11&gt;0.01,A11&lt;=0.1),1+50*(A11-0.01)/3,AND(A11&gt;0.1,A11&lt;=0.4),2.5,AND(A11&gt;0.4,A11&lt;=6),1/A11,AND(A11&gt;6,A11&lt;=10),6/A11^2)</f>
        <v>1.25</v>
      </c>
      <c r="C11" s="1">
        <f t="shared" si="0"/>
        <v>12.262500000000001</v>
      </c>
      <c r="D11" s="1">
        <f t="shared" si="2"/>
        <v>8.3250000000000005E-2</v>
      </c>
    </row>
    <row r="12" spans="1:12" x14ac:dyDescent="0.25">
      <c r="A12" s="1">
        <v>0.9</v>
      </c>
      <c r="B12" s="1" cm="1">
        <f t="array" ref="B12">_xlfn.IFS(A12&lt;=0.01,1,AND(A12&gt;0.01,A12&lt;=0.1),1+50*(A12-0.01)/3,AND(A12&gt;0.1,A12&lt;=0.4),2.5,AND(A12&gt;0.4,A12&lt;=6),1/A12,AND(A12&gt;6,A12&lt;=10),6/A12^2)</f>
        <v>1.1111111111111112</v>
      </c>
      <c r="C12" s="1">
        <f t="shared" si="0"/>
        <v>10.9</v>
      </c>
      <c r="D12" s="1">
        <f t="shared" si="2"/>
        <v>7.400000000000001E-2</v>
      </c>
    </row>
    <row r="13" spans="1:12" x14ac:dyDescent="0.25">
      <c r="A13" s="1">
        <v>1</v>
      </c>
      <c r="B13" s="1" cm="1">
        <f t="array" ref="B13">_xlfn.IFS(A13&lt;=0.01,1,AND(A13&gt;0.01,A13&lt;=0.1),1+50*(A13-0.01)/3,AND(A13&gt;0.1,A13&lt;=0.4),2.5,AND(A13&gt;0.4,A13&lt;=6),1/A13,AND(A13&gt;6,A13&lt;=10),6/A13^2)</f>
        <v>1</v>
      </c>
      <c r="C13" s="1">
        <f t="shared" si="0"/>
        <v>9.81</v>
      </c>
      <c r="D13" s="1">
        <f t="shared" si="2"/>
        <v>6.6600000000000006E-2</v>
      </c>
    </row>
    <row r="14" spans="1:12" x14ac:dyDescent="0.25">
      <c r="A14" s="1">
        <v>1.1000000000000001</v>
      </c>
      <c r="B14" s="1" cm="1">
        <f t="array" ref="B14">_xlfn.IFS(A14&lt;=0.01,1,AND(A14&gt;0.01,A14&lt;=0.1),1+50*(A14-0.01)/3,AND(A14&gt;0.1,A14&lt;=0.4),2.5,AND(A14&gt;0.4,A14&lt;=6),1/A14,AND(A14&gt;6,A14&lt;=10),6/A14^2)</f>
        <v>0.90909090909090906</v>
      </c>
      <c r="C14" s="1">
        <f t="shared" si="0"/>
        <v>8.918181818181818</v>
      </c>
      <c r="D14" s="1">
        <f t="shared" si="2"/>
        <v>6.0545454545454548E-2</v>
      </c>
    </row>
    <row r="15" spans="1:12" x14ac:dyDescent="0.25">
      <c r="A15" s="1">
        <v>1.2</v>
      </c>
      <c r="B15" s="1" cm="1">
        <f t="array" ref="B15">_xlfn.IFS(A15&lt;=0.01,1,AND(A15&gt;0.01,A15&lt;=0.1),1+50*(A15-0.01)/3,AND(A15&gt;0.1,A15&lt;=0.4),2.5,AND(A15&gt;0.4,A15&lt;=6),1/A15,AND(A15&gt;6,A15&lt;=10),6/A15^2)</f>
        <v>0.83333333333333337</v>
      </c>
      <c r="C15" s="1">
        <f t="shared" si="0"/>
        <v>8.1750000000000007</v>
      </c>
      <c r="D15" s="1">
        <f t="shared" si="2"/>
        <v>5.5500000000000008E-2</v>
      </c>
    </row>
    <row r="16" spans="1:12" x14ac:dyDescent="0.25">
      <c r="A16" s="1">
        <v>1.3</v>
      </c>
      <c r="B16" s="1" cm="1">
        <f t="array" ref="B16">_xlfn.IFS(A16&lt;=0.01,1,AND(A16&gt;0.01,A16&lt;=0.1),1+50*(A16-0.01)/3,AND(A16&gt;0.1,A16&lt;=0.4),2.5,AND(A16&gt;0.4,A16&lt;=6),1/A16,AND(A16&gt;6,A16&lt;=10),6/A16^2)</f>
        <v>0.76923076923076916</v>
      </c>
      <c r="C16" s="1">
        <f t="shared" si="0"/>
        <v>7.546153846153846</v>
      </c>
      <c r="D16" s="1">
        <f t="shared" si="2"/>
        <v>5.1230769230769226E-2</v>
      </c>
    </row>
    <row r="17" spans="1:4" x14ac:dyDescent="0.25">
      <c r="A17" s="1">
        <v>1.4</v>
      </c>
      <c r="B17" s="1" cm="1">
        <f t="array" ref="B17">_xlfn.IFS(A17&lt;=0.01,1,AND(A17&gt;0.01,A17&lt;=0.1),1+50*(A17-0.01)/3,AND(A17&gt;0.1,A17&lt;=0.4),2.5,AND(A17&gt;0.4,A17&lt;=6),1/A17,AND(A17&gt;6,A17&lt;=10),6/A17^2)</f>
        <v>0.7142857142857143</v>
      </c>
      <c r="C17" s="1">
        <f t="shared" si="0"/>
        <v>7.007142857142858</v>
      </c>
      <c r="D17" s="1">
        <f t="shared" si="2"/>
        <v>4.7571428571428577E-2</v>
      </c>
    </row>
    <row r="18" spans="1:4" x14ac:dyDescent="0.25">
      <c r="A18" s="1">
        <v>1.5</v>
      </c>
      <c r="B18" s="1" cm="1">
        <f t="array" ref="B18">_xlfn.IFS(A18&lt;=0.01,1,AND(A18&gt;0.01,A18&lt;=0.1),1+50*(A18-0.01)/3,AND(A18&gt;0.1,A18&lt;=0.4),2.5,AND(A18&gt;0.4,A18&lt;=6),1/A18,AND(A18&gt;6,A18&lt;=10),6/A18^2)</f>
        <v>0.66666666666666663</v>
      </c>
      <c r="C18" s="1">
        <f t="shared" si="0"/>
        <v>6.54</v>
      </c>
      <c r="D18" s="1">
        <f t="shared" si="2"/>
        <v>4.4400000000000002E-2</v>
      </c>
    </row>
    <row r="19" spans="1:4" x14ac:dyDescent="0.25">
      <c r="A19" s="1">
        <v>1.6</v>
      </c>
      <c r="B19" s="1" cm="1">
        <f t="array" ref="B19">_xlfn.IFS(A19&lt;=0.01,1,AND(A19&gt;0.01,A19&lt;=0.1),1+50*(A19-0.01)/3,AND(A19&gt;0.1,A19&lt;=0.4),2.5,AND(A19&gt;0.4,A19&lt;=6),1/A19,AND(A19&gt;6,A19&lt;=10),6/A19^2)</f>
        <v>0.625</v>
      </c>
      <c r="C19" s="1">
        <f t="shared" si="0"/>
        <v>6.1312500000000005</v>
      </c>
      <c r="D19" s="1">
        <f t="shared" si="2"/>
        <v>4.1625000000000002E-2</v>
      </c>
    </row>
    <row r="20" spans="1:4" x14ac:dyDescent="0.25">
      <c r="A20" s="1">
        <v>1.7</v>
      </c>
      <c r="B20" s="1" cm="1">
        <f t="array" ref="B20">_xlfn.IFS(A20&lt;=0.01,1,AND(A20&gt;0.01,A20&lt;=0.1),1+50*(A20-0.01)/3,AND(A20&gt;0.1,A20&lt;=0.4),2.5,AND(A20&gt;0.4,A20&lt;=6),1/A20,AND(A20&gt;6,A20&lt;=10),6/A20^2)</f>
        <v>0.58823529411764708</v>
      </c>
      <c r="C20" s="1">
        <f t="shared" si="0"/>
        <v>5.7705882352941185</v>
      </c>
      <c r="D20" s="1">
        <f t="shared" si="2"/>
        <v>3.9176470588235299E-2</v>
      </c>
    </row>
    <row r="21" spans="1:4" x14ac:dyDescent="0.25">
      <c r="A21" s="1">
        <v>1.8</v>
      </c>
      <c r="B21" s="1" cm="1">
        <f t="array" ref="B21">_xlfn.IFS(A21&lt;=0.01,1,AND(A21&gt;0.01,A21&lt;=0.1),1+50*(A21-0.01)/3,AND(A21&gt;0.1,A21&lt;=0.4),2.5,AND(A21&gt;0.4,A21&lt;=6),1/A21,AND(A21&gt;6,A21&lt;=10),6/A21^2)</f>
        <v>0.55555555555555558</v>
      </c>
      <c r="C21" s="1">
        <f t="shared" si="0"/>
        <v>5.45</v>
      </c>
      <c r="D21" s="1">
        <f t="shared" si="2"/>
        <v>3.7000000000000005E-2</v>
      </c>
    </row>
    <row r="22" spans="1:4" x14ac:dyDescent="0.25">
      <c r="A22" s="1">
        <v>1.9</v>
      </c>
      <c r="B22" s="1" cm="1">
        <f t="array" ref="B22">_xlfn.IFS(A22&lt;=0.01,1,AND(A22&gt;0.01,A22&lt;=0.1),1+50*(A22-0.01)/3,AND(A22&gt;0.1,A22&lt;=0.4),2.5,AND(A22&gt;0.4,A22&lt;=6),1/A22,AND(A22&gt;6,A22&lt;=10),6/A22^2)</f>
        <v>0.52631578947368418</v>
      </c>
      <c r="C22" s="1">
        <f t="shared" si="0"/>
        <v>5.1631578947368419</v>
      </c>
      <c r="D22" s="1">
        <f t="shared" si="2"/>
        <v>3.505263157894737E-2</v>
      </c>
    </row>
    <row r="23" spans="1:4" x14ac:dyDescent="0.25">
      <c r="A23" s="1">
        <v>2</v>
      </c>
      <c r="B23" s="1" cm="1">
        <f t="array" ref="B23">_xlfn.IFS(A23&lt;=0.01,1,AND(A23&gt;0.01,A23&lt;=0.1),1+50*(A23-0.01)/3,AND(A23&gt;0.1,A23&lt;=0.4),2.5,AND(A23&gt;0.4,A23&lt;=6),1/A23,AND(A23&gt;6,A23&lt;=10),6/A23^2)</f>
        <v>0.5</v>
      </c>
      <c r="C23" s="1">
        <f t="shared" si="0"/>
        <v>4.9050000000000002</v>
      </c>
      <c r="D23" s="1">
        <f t="shared" si="2"/>
        <v>3.3300000000000003E-2</v>
      </c>
    </row>
    <row r="24" spans="1:4" x14ac:dyDescent="0.25">
      <c r="A24" s="1">
        <v>3</v>
      </c>
      <c r="B24" s="1" cm="1">
        <f t="array" ref="B24">_xlfn.IFS(A24&lt;=0.01,1,AND(A24&gt;0.01,A24&lt;=0.1),1+50*(A24-0.01)/3,AND(A24&gt;0.1,A24&lt;=0.4),2.5,AND(A24&gt;0.4,A24&lt;=6),1/A24,AND(A24&gt;6,A24&lt;=10),6/A24^2)</f>
        <v>0.33333333333333331</v>
      </c>
      <c r="C24" s="1">
        <f t="shared" si="0"/>
        <v>3.27</v>
      </c>
      <c r="D24" s="1">
        <f t="shared" si="2"/>
        <v>2.2200000000000001E-2</v>
      </c>
    </row>
    <row r="25" spans="1:4" x14ac:dyDescent="0.25">
      <c r="A25" s="1">
        <v>4</v>
      </c>
      <c r="B25" s="1" cm="1">
        <f t="array" ref="B25">_xlfn.IFS(A25&lt;=0.01,1,AND(A25&gt;0.01,A25&lt;=0.1),1+50*(A25-0.01)/3,AND(A25&gt;0.1,A25&lt;=0.4),2.5,AND(A25&gt;0.4,A25&lt;=6),1/A25,AND(A25&gt;6,A25&lt;=10),6/A25^2)</f>
        <v>0.25</v>
      </c>
      <c r="C25" s="1">
        <f t="shared" si="0"/>
        <v>2.4525000000000001</v>
      </c>
      <c r="D25" s="1">
        <f t="shared" si="2"/>
        <v>1.6650000000000002E-2</v>
      </c>
    </row>
    <row r="26" spans="1:4" x14ac:dyDescent="0.25">
      <c r="A26" s="1">
        <v>5</v>
      </c>
      <c r="B26" s="1" cm="1">
        <f t="array" ref="B26">_xlfn.IFS(A26&lt;=0.01,1,AND(A26&gt;0.01,A26&lt;=0.1),1+50*(A26-0.01)/3,AND(A26&gt;0.1,A26&lt;=0.4),2.5,AND(A26&gt;0.4,A26&lt;=6),1/A26,AND(A26&gt;6,A26&lt;=10),6/A26^2)</f>
        <v>0.2</v>
      </c>
      <c r="C26" s="1">
        <f t="shared" si="0"/>
        <v>1.9620000000000002</v>
      </c>
      <c r="D26" s="1">
        <f t="shared" si="2"/>
        <v>1.3320000000000002E-2</v>
      </c>
    </row>
    <row r="27" spans="1:4" x14ac:dyDescent="0.25">
      <c r="A27" s="1">
        <v>6</v>
      </c>
      <c r="B27" s="1" cm="1">
        <f t="array" ref="B27">_xlfn.IFS(A27&lt;=0.01,1,AND(A27&gt;0.01,A27&lt;=0.1),1+50*(A27-0.01)/3,AND(A27&gt;0.1,A27&lt;=0.4),2.5,AND(A27&gt;0.4,A27&lt;=6),1/A27,AND(A27&gt;6,A27&lt;=10),6/A27^2)</f>
        <v>0.16666666666666666</v>
      </c>
      <c r="C27" s="1">
        <f t="shared" si="0"/>
        <v>1.635</v>
      </c>
      <c r="D27" s="1">
        <f t="shared" si="2"/>
        <v>1.11E-2</v>
      </c>
    </row>
    <row r="28" spans="1:4" x14ac:dyDescent="0.25">
      <c r="A28" s="1">
        <v>7</v>
      </c>
      <c r="B28" s="1" cm="1">
        <f t="array" ref="B28">_xlfn.IFS(A28&lt;=0.01,1,AND(A28&gt;0.01,A28&lt;=0.1),1+50*(A28-0.01)/3,AND(A28&gt;0.1,A28&lt;=0.4),2.5,AND(A28&gt;0.4,A28&lt;=6),1/A28,AND(A28&gt;6,A28&lt;=10),6/A28^2)</f>
        <v>0.12244897959183673</v>
      </c>
      <c r="C28" s="1">
        <f t="shared" si="0"/>
        <v>1.2012244897959183</v>
      </c>
      <c r="D28" s="1">
        <f t="shared" si="2"/>
        <v>8.1551020408163269E-3</v>
      </c>
    </row>
    <row r="29" spans="1:4" x14ac:dyDescent="0.25">
      <c r="A29" s="1">
        <v>8</v>
      </c>
      <c r="B29" s="1" cm="1">
        <f t="array" ref="B29">_xlfn.IFS(A29&lt;=0.01,1,AND(A29&gt;0.01,A29&lt;=0.1),1+50*(A29-0.01)/3,AND(A29&gt;0.1,A29&lt;=0.4),2.5,AND(A29&gt;0.4,A29&lt;=6),1/A29,AND(A29&gt;6,A29&lt;=10),6/A29^2)</f>
        <v>9.375E-2</v>
      </c>
      <c r="C29" s="1">
        <f t="shared" si="0"/>
        <v>0.91968749999999999</v>
      </c>
      <c r="D29" s="1">
        <f t="shared" si="2"/>
        <v>6.243750000000001E-3</v>
      </c>
    </row>
    <row r="30" spans="1:4" x14ac:dyDescent="0.25">
      <c r="A30" s="1">
        <v>9</v>
      </c>
      <c r="B30" s="1" cm="1">
        <f t="array" ref="B30">_xlfn.IFS(A30&lt;=0.01,1,AND(A30&gt;0.01,A30&lt;=0.1),1+50*(A30-0.01)/3,AND(A30&gt;0.1,A30&lt;=0.4),2.5,AND(A30&gt;0.4,A30&lt;=6),1/A30,AND(A30&gt;6,A30&lt;=10),6/A30^2)</f>
        <v>7.407407407407407E-2</v>
      </c>
      <c r="C30" s="1">
        <f t="shared" si="0"/>
        <v>0.72666666666666668</v>
      </c>
      <c r="D30" s="1">
        <f t="shared" si="2"/>
        <v>4.933333333333333E-3</v>
      </c>
    </row>
    <row r="31" spans="1:4" x14ac:dyDescent="0.25">
      <c r="A31" s="1">
        <v>10</v>
      </c>
      <c r="B31" s="1" cm="1">
        <f t="array" ref="B31">_xlfn.IFS(A31&lt;=0.01,1,AND(A31&gt;0.01,A31&lt;=0.1),1+50*(A31-0.01)/3,AND(A31&gt;0.1,A31&lt;=0.4),2.5,AND(A31&gt;0.4,A31&lt;=6),1/A31,AND(A31&gt;6,A31&lt;=10),6/A31^2)</f>
        <v>0.06</v>
      </c>
      <c r="C31" s="1">
        <f t="shared" si="0"/>
        <v>0.58860000000000001</v>
      </c>
      <c r="D31" s="1">
        <f t="shared" si="2"/>
        <v>3.9960000000000004E-3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RS_Function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verlee daniel</dc:creator>
  <cp:lastModifiedBy>verlee daniel</cp:lastModifiedBy>
  <dcterms:created xsi:type="dcterms:W3CDTF">2026-02-10T15:12:44Z</dcterms:created>
  <dcterms:modified xsi:type="dcterms:W3CDTF">2026-10-08T07:22:57Z</dcterms:modified>
</cp:coreProperties>
</file>